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Codex"/>
  <workbookPr/>
  <bookViews>
    <workbookView xWindow="0" yWindow="0" windowWidth="24000" windowHeight="12000"/>
  </bookViews>
  <sheets>
    <sheet name="Accueil" sheetId="1" r:id="rId1"/>
    <sheet name="Config" sheetId="2" r:id="rId2"/>
    <sheet name="Guide_Query" sheetId="3" r:id="rId3"/>
    <sheet name="Guide_Macros" sheetId="4" r:id="rId4"/>
    <sheet name="Groups" sheetId="5" r:id="rId5"/>
    <sheet name="Beneficiaires" sheetId="6" r:id="rId6"/>
    <sheet name="Applications" sheetId="7" r:id="rId7"/>
    <sheet name="Entretiens" sheetId="8" r:id="rId8"/>
    <sheet name="Relances_Dues" sheetId="9" r:id="rId9"/>
    <sheet name="Dashboard" sheetId="10" r:id="rId10"/>
    <sheet name="GraphData" sheetId="11" r:id="rId11"/>
  </sheets>
  <definedNames>
    <definedName name="ApiKey">Config!$B$2</definedName>
    <definedName name="BaseUrl">Config!$B$3</definedName>
    <definedName name="GroupId">Config!$B$4</definedName>
    <definedName name="SearchText">Config!$B$5</definedName>
    <definedName name="Status">Config!$B$6</definedName>
  </definedNames>
  <calcPr calcId="191029"/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8"/>
  <sheetViews>
    <sheetView workbookViewId="0"/>
  </sheetViews>
  <cols>
    <col min="1" max="1" width="26" customWidth="1"/>
    <col min="2" max="2" width="110" customWidth="1"/>
  </cols>
  <sheetData>
    <row r="1">
      <c r="A1" t="inlineStr" s="1">
        <is>
          <t xml:space="preserve">Classeur coach - API FOREM</t>
        </is>
      </c>
    </row>
    <row r="2">
      <c r="A2" t="inlineStr" s="0">
        <is>
          <t xml:space="preserve">Objectif</t>
        </is>
      </c>
      <c r="B2" t="inlineStr" s="0">
        <is>
          <t xml:space="preserve">Suivre les groupes visibles par un coach, leurs beneficiaires et les candidatures.</t>
        </is>
      </c>
    </row>
    <row r="3">
      <c r="A3" t="inlineStr" s="0">
        <is>
          <t xml:space="preserve">Base URL</t>
        </is>
      </c>
      <c r="B3" t="inlineStr" s="0">
        <is>
          <t xml:space="preserve">http://forem.brisbois.dev</t>
        </is>
      </c>
    </row>
    <row r="4">
      <c r="A4" t="inlineStr" s="0">
        <is>
          <t xml:space="preserve">Authentification</t>
        </is>
      </c>
      <c r="B4" t="inlineStr" s="0">
        <is>
          <t xml:space="preserve">Bearer token a saisir dans Config!B2</t>
        </is>
      </c>
    </row>
    <row r="5">
      <c r="A5" t="inlineStr" s="0">
        <is>
          <t xml:space="preserve">Comment rafraichir</t>
        </is>
      </c>
      <c r="B5" t="inlineStr" s="0">
        <is>
          <t xml:space="preserve">Dans Excel: Donnees &gt; Requete vide &gt; coller un script .pq &gt; Charger &gt; Actualiser tout</t>
        </is>
      </c>
    </row>
    <row r="6">
      <c r="A6" t="inlineStr" s="0">
        <is>
          <t xml:space="preserve">Fichiers a utiliser</t>
        </is>
      </c>
      <c r="B6" t="inlineStr" s="0">
        <is>
          <t xml:space="preserve">examples/excel/power-query/coach_applications_by_group.pq, coach_groups.pq, coach_users_by_group.pq</t>
        </is>
      </c>
    </row>
    <row r="7">
      <c r="A7" t="inlineStr" s="0">
        <is>
          <t xml:space="preserve">Endpoints utiles</t>
        </is>
      </c>
      <c r="B7" t="inlineStr" s="0">
        <is>
          <t xml:space="preserve">/api/external/groups?format=csv ; /api/external/users?groupId={GroupId}&amp;format=csv ; /api/external/applications?groupId={GroupId}&amp;format=csv</t>
        </is>
      </c>
    </row>
    <row r="8">
      <c r="A8" t="inlineStr" s="0">
        <is>
          <t xml:space="preserve">Scope coach</t>
        </is>
      </c>
      <c r="B8" t="inlineStr" s="0">
        <is>
          <t xml:space="preserve">Un coach ne voit que ses groupes attribues et les beneficiaires visibles dans ces groupes.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C7"/>
  <sheetViews>
    <sheetView workbookViewId="0"/>
  </sheetViews>
  <cols>
    <col min="1" max="1" width="22" customWidth="1"/>
    <col min="2" max="2" width="38" customWidth="1"/>
    <col min="3" max="3" width="58" customWidth="1"/>
  </cols>
  <sheetData>
    <row r="1">
      <c r="A1" t="inlineStr" s="1">
        <is>
          <t xml:space="preserve">Parametre</t>
        </is>
      </c>
      <c r="B1" t="inlineStr" s="1">
        <is>
          <t xml:space="preserve">Valeur</t>
        </is>
      </c>
      <c r="C1" t="inlineStr" s="1">
        <is>
          <t xml:space="preserve">Notes</t>
        </is>
      </c>
    </row>
    <row r="2">
      <c r="A2" t="inlineStr" s="0">
        <is>
          <t xml:space="preserve">ApiKey</t>
        </is>
      </c>
      <c r="B2" t="inlineStr" s="0">
        <is>
          <t xml:space="preserve"/>
        </is>
      </c>
      <c r="C2" t="inlineStr" s="0">
        <is>
          <t xml:space="preserve">Laisser vide dans Git. A remplir dans Excel.</t>
        </is>
      </c>
    </row>
    <row r="3">
      <c r="A3" t="inlineStr" s="0">
        <is>
          <t xml:space="preserve">BaseUrl</t>
        </is>
      </c>
      <c r="B3" t="inlineStr" s="0">
        <is>
          <t xml:space="preserve">http://forem.brisbois.dev</t>
        </is>
      </c>
      <c r="C3" t="inlineStr" s="0">
        <is>
          <t xml:space="preserve">URL du site cible</t>
        </is>
      </c>
    </row>
    <row r="4">
      <c r="A4" t="inlineStr" s="0">
        <is>
          <t xml:space="preserve">GroupId</t>
        </is>
      </c>
      <c r="B4" s="0">
        <v>5</v>
      </c>
      <c r="C4" t="inlineStr" s="0">
        <is>
          <t xml:space="preserve">Groupe par defaut a remplacer</t>
        </is>
      </c>
    </row>
    <row r="5">
      <c r="A5" t="inlineStr" s="0">
        <is>
          <t xml:space="preserve">SearchText</t>
        </is>
      </c>
      <c r="B5" t="inlineStr" s="0">
        <is>
          <t xml:space="preserve"/>
        </is>
      </c>
      <c r="C5" t="inlineStr" s="0">
        <is>
          <t xml:space="preserve">Recherche libre optionnelle</t>
        </is>
      </c>
    </row>
    <row r="6">
      <c r="A6" t="inlineStr" s="0">
        <is>
          <t xml:space="preserve">Status</t>
        </is>
      </c>
      <c r="B6" t="inlineStr" s="0">
        <is>
          <t xml:space="preserve"/>
        </is>
      </c>
      <c r="C6" t="inlineStr" s="0">
        <is>
          <t xml:space="preserve">Optionnel: in_progress, follow_up, interview, accepted, rejected</t>
        </is>
      </c>
    </row>
    <row r="7">
      <c r="A7" t="inlineStr" s="0">
        <is>
          <t xml:space="preserve">Conseil</t>
        </is>
      </c>
      <c r="B7" t="inlineStr" s="0">
        <is>
          <t xml:space="preserve">Dupliquer le fichier par coach si besoin</t>
        </is>
      </c>
      <c r="C7" t="inlineStr" s="0">
        <is>
          <t xml:space="preserve">Permet un suivi par portefeuille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B19"/>
  <sheetViews>
    <sheetView workbookViewId="0"/>
  </sheetViews>
  <cols>
    <col min="1" max="1" width="18" customWidth="1"/>
    <col min="2" max="2" width="120" customWidth="1"/>
  </cols>
  <sheetData>
    <row r="1">
      <c r="A1" t="inlineStr" s="1">
        <is>
          <t xml:space="preserve">Bloc</t>
        </is>
      </c>
      <c r="B1" t="inlineStr" s="1">
        <is>
          <t xml:space="preserve">Contenu</t>
        </is>
      </c>
    </row>
    <row r="2">
      <c r="A2" t="inlineStr" s="0">
        <is>
          <t xml:space="preserve">Ligne 1</t>
        </is>
      </c>
      <c r="B2" t="inlineStr" s="0">
        <is>
          <t xml:space="preserve">Script principal - candidatures par groupe</t>
        </is>
      </c>
    </row>
    <row r="3">
      <c r="A3" t="inlineStr" s="0">
        <is>
          <t xml:space="preserve">Ligne 2</t>
        </is>
      </c>
      <c r="B3" t="inlineStr" s="0">
        <is>
          <t xml:space="preserve">let</t>
        </is>
      </c>
    </row>
    <row r="4">
      <c r="A4" t="inlineStr" s="0">
        <is>
          <t xml:space="preserve">Ligne 3</t>
        </is>
      </c>
      <c r="B4" t="inlineStr" s="0">
        <is>
          <t xml:space="preserve">    ApiKey = Excel.CurrentWorkbook(){[Name="ApiKey"]}[Content]{0}[Column1],</t>
        </is>
      </c>
    </row>
    <row r="5">
      <c r="A5" t="inlineStr" s="0">
        <is>
          <t xml:space="preserve">Ligne 4</t>
        </is>
      </c>
      <c r="B5" t="inlineStr" s="0">
        <is>
          <t xml:space="preserve">    BaseUrl = Excel.CurrentWorkbook(){[Name="BaseUrl"]}[Content]{0}[Column1],</t>
        </is>
      </c>
    </row>
    <row r="6">
      <c r="A6" t="inlineStr" s="0">
        <is>
          <t xml:space="preserve">Ligne 5</t>
        </is>
      </c>
      <c r="B6" t="inlineStr" s="0">
        <is>
          <t xml:space="preserve">    GroupId = Excel.CurrentWorkbook(){[Name="GroupId"]}[Content]{0}[Column1],</t>
        </is>
      </c>
    </row>
    <row r="7">
      <c r="A7" t="inlineStr" s="0">
        <is>
          <t xml:space="preserve">Ligne 6</t>
        </is>
      </c>
      <c r="B7" t="inlineStr" s="0">
        <is>
          <t xml:space="preserve">    Url = BaseUrl &amp; "/api/external/applications?groupId=" &amp; Text.From(GroupId) &amp; "&amp;format=csv",</t>
        </is>
      </c>
    </row>
    <row r="8">
      <c r="A8" t="inlineStr" s="0">
        <is>
          <t xml:space="preserve">Ligne 7</t>
        </is>
      </c>
      <c r="B8" t="inlineStr" s="0">
        <is>
          <t xml:space="preserve">    Source = Web.Contents(</t>
        </is>
      </c>
    </row>
    <row r="9">
      <c r="A9" t="inlineStr" s="0">
        <is>
          <t xml:space="preserve">Ligne 8</t>
        </is>
      </c>
      <c r="B9" t="inlineStr" s="0">
        <is>
          <t xml:space="preserve">        Url,</t>
        </is>
      </c>
    </row>
    <row r="10">
      <c r="A10" t="inlineStr" s="0">
        <is>
          <t xml:space="preserve">Ligne 9</t>
        </is>
      </c>
      <c r="B10" t="inlineStr" s="0">
        <is>
          <t xml:space="preserve">        [Headers = [Authorization = "Bearer " &amp; Text.From(ApiKey)]]</t>
        </is>
      </c>
    </row>
    <row r="11">
      <c r="A11" t="inlineStr" s="0">
        <is>
          <t xml:space="preserve">Ligne 10</t>
        </is>
      </c>
      <c r="B11" t="inlineStr" s="0">
        <is>
          <t xml:space="preserve">    ),</t>
        </is>
      </c>
    </row>
    <row r="12">
      <c r="A12" t="inlineStr" s="0">
        <is>
          <t xml:space="preserve">Ligne 11</t>
        </is>
      </c>
      <c r="B12" t="inlineStr" s="0">
        <is>
          <t xml:space="preserve">    CsvData = Csv.Document(Source, [Delimiter = ",", Encoding = 65001, QuoteStyle = QuoteStyle.Csv]),</t>
        </is>
      </c>
    </row>
    <row r="13">
      <c r="A13" t="inlineStr" s="0">
        <is>
          <t xml:space="preserve">Ligne 12</t>
        </is>
      </c>
      <c r="B13" t="inlineStr" s="0">
        <is>
          <t xml:space="preserve">    PromotedHeaders = Table.PromoteHeaders(CsvData, [PromoteAllScalars = true])</t>
        </is>
      </c>
    </row>
    <row r="14">
      <c r="A14" t="inlineStr" s="0">
        <is>
          <t xml:space="preserve">Ligne 13</t>
        </is>
      </c>
      <c r="B14" t="inlineStr" s="0">
        <is>
          <t xml:space="preserve">in</t>
        </is>
      </c>
    </row>
    <row r="15">
      <c r="A15" t="inlineStr" s="0">
        <is>
          <t xml:space="preserve">Ligne 14</t>
        </is>
      </c>
      <c r="B15" t="inlineStr" s="0">
        <is>
          <t xml:space="preserve">    PromotedHeaders</t>
        </is>
      </c>
    </row>
    <row r="16">
      <c r="A16" t="inlineStr" s="0">
        <is>
          <t xml:space="preserve">Mode d emploi</t>
        </is>
      </c>
      <c r="B16" t="inlineStr" s="0">
        <is>
          <t xml:space="preserve">1. Copier un fichier .pq du dossier examples/excel/power-query</t>
        </is>
      </c>
    </row>
    <row r="17">
      <c r="A17" t="inlineStr" s="0">
        <is>
          <t xml:space="preserve">Mode d emploi</t>
        </is>
      </c>
      <c r="B17" t="inlineStr" s="0">
        <is>
          <t xml:space="preserve">2. Dans Excel: Donnees &gt; Obtenir des donnees &gt; Requete vide &gt; Editeur avance</t>
        </is>
      </c>
    </row>
    <row r="18">
      <c r="A18" t="inlineStr" s="0">
        <is>
          <t xml:space="preserve">Mode d emploi</t>
        </is>
      </c>
      <c r="B18" t="inlineStr" s="0">
        <is>
          <t xml:space="preserve">3. Coller le script et charger vers la feuille cible</t>
        </is>
      </c>
    </row>
    <row r="19">
      <c r="A19" t="inlineStr" s="0">
        <is>
          <t xml:space="preserve">Mode d emploi</t>
        </is>
      </c>
      <c r="B19" t="inlineStr" s="0">
        <is>
          <t xml:space="preserve">4. Rafraichir avec Actualiser tout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B15"/>
  <sheetViews>
    <sheetView workbookViewId="0"/>
  </sheetViews>
  <cols>
    <col min="1" max="1" width="24" customWidth="1"/>
    <col min="2" max="2" width="104" customWidth="1"/>
  </cols>
  <sheetData>
    <row r="1">
      <c r="A1" t="inlineStr" s="1">
        <is>
          <t xml:space="preserve">Action</t>
        </is>
      </c>
      <c r="B1" t="inlineStr" s="1">
        <is>
          <t xml:space="preserve">Detail</t>
        </is>
      </c>
    </row>
    <row r="2">
      <c r="A2" t="inlineStr" s="0">
        <is>
          <t xml:space="preserve">But</t>
        </is>
      </c>
      <c r="B2" t="inlineStr" s="0">
        <is>
          <t xml:space="preserve">Ajouter une couche macro simple pour rafraichir les requetes et naviguer entre les feuilles clefs.</t>
        </is>
      </c>
    </row>
    <row r="3">
      <c r="A3" t="inlineStr" s="0">
        <is>
          <t xml:space="preserve">Fichier VBA</t>
        </is>
      </c>
      <c r="B3" t="inlineStr" s="0">
        <is>
          <t xml:space="preserve">examples/excel/vba/CoachApiTools.bas</t>
        </is>
      </c>
    </row>
    <row r="4">
      <c r="A4" t="inlineStr" s="0">
        <is>
          <t xml:space="preserve">Import VBA</t>
        </is>
      </c>
      <c r="B4" t="inlineStr" s="0">
        <is>
          <t xml:space="preserve">Excel Desktop &gt; Alt+F11 &gt; clic droit sur le projet &gt; Importer un fichier</t>
        </is>
      </c>
    </row>
    <row r="5">
      <c r="A5" t="inlineStr" s="0">
        <is>
          <t xml:space="preserve">Sauvegarde</t>
        </is>
      </c>
      <c r="B5" t="inlineStr" s="0">
        <is>
          <t xml:space="preserve">Enregistrer ensuite le classeur en .xlsm pour conserver les macros</t>
        </is>
      </c>
    </row>
    <row r="6">
      <c r="A6" t="inlineStr" s="0">
        <is>
          <t xml:space="preserve">Macro 1</t>
        </is>
      </c>
      <c r="B6" t="inlineStr" s="0">
        <is>
          <t xml:space="preserve">RefreshCoachWorkbook : lance ThisWorkbook.RefreshAll</t>
        </is>
      </c>
    </row>
    <row r="7">
      <c r="A7" t="inlineStr" s="0">
        <is>
          <t xml:space="preserve">Macro 2</t>
        </is>
      </c>
      <c r="B7" t="inlineStr" s="0">
        <is>
          <t xml:space="preserve">GoToDashboard : ouvre la feuille Dashboard</t>
        </is>
      </c>
    </row>
    <row r="8">
      <c r="A8" t="inlineStr" s="0">
        <is>
          <t xml:space="preserve">Macro 3</t>
        </is>
      </c>
      <c r="B8" t="inlineStr" s="0">
        <is>
          <t xml:space="preserve">GoToApplications : ouvre la feuille Applications</t>
        </is>
      </c>
    </row>
    <row r="9">
      <c r="A9" t="inlineStr" s="0">
        <is>
          <t xml:space="preserve">Macro 4</t>
        </is>
      </c>
      <c r="B9" t="inlineStr" s="0">
        <is>
          <t xml:space="preserve">GoToBeneficiaires : ouvre la feuille Beneficiaires</t>
        </is>
      </c>
    </row>
    <row r="10">
      <c r="A10" t="inlineStr" s="0">
        <is>
          <t xml:space="preserve">Boutons</t>
        </is>
      </c>
      <c r="B10" t="inlineStr" s="0">
        <is>
          <t xml:space="preserve">Inserer &gt; Formes &gt; clic droit &gt; Affecter une macro</t>
        </is>
      </c>
    </row>
    <row r="11">
      <c r="A11" t="inlineStr" s="0">
        <is>
          <t xml:space="preserve">Bouton recommande 1</t>
        </is>
      </c>
      <c r="B11" t="inlineStr" s="0">
        <is>
          <t xml:space="preserve">Actualiser tout</t>
        </is>
      </c>
    </row>
    <row r="12">
      <c r="A12" t="inlineStr" s="0">
        <is>
          <t xml:space="preserve">Bouton recommande 2</t>
        </is>
      </c>
      <c r="B12" t="inlineStr" s="0">
        <is>
          <t xml:space="preserve">Ouvrir dashboard</t>
        </is>
      </c>
    </row>
    <row r="13">
      <c r="A13" t="inlineStr" s="0">
        <is>
          <t xml:space="preserve">Bouton recommande 3</t>
        </is>
      </c>
      <c r="B13" t="inlineStr" s="0">
        <is>
          <t xml:space="preserve">Ouvrir candidatures</t>
        </is>
      </c>
    </row>
    <row r="14">
      <c r="A14" t="inlineStr" s="0">
        <is>
          <t xml:space="preserve">Bouton recommande 4</t>
        </is>
      </c>
      <c r="B14" t="inlineStr" s="0">
        <is>
          <t xml:space="preserve">Ouvrir beneficiaires</t>
        </is>
      </c>
    </row>
    <row r="15">
      <c r="A15" t="inlineStr" s="0">
        <is>
          <t xml:space="preserve">Astuce</t>
        </is>
      </c>
      <c r="B15" t="inlineStr" s="0">
        <is>
          <t xml:space="preserve">Lier aussi la requete groups pour donner au coach une vue portefeuille immediate.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  <selection pane="bottomLeft" activeCell="A2" sqref="A2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t="inlineStr" s="1">
        <is>
          <t xml:space="preserve">ID groupe</t>
        </is>
      </c>
      <c r="B1" t="inlineStr" s="1">
        <is>
          <t xml:space="preserve">Nom groupe</t>
        </is>
      </c>
      <c r="C1" t="inlineStr" s="1">
        <is>
          <t xml:space="preserve">Cree le</t>
        </is>
      </c>
      <c r="D1" t="inlineStr" s="1">
        <is>
          <t xml:space="preserve">Cree par</t>
        </is>
      </c>
      <c r="E1" t="inlineStr" s="1">
        <is>
          <t xml:space="preserve">Manager</t>
        </is>
      </c>
      <c r="F1" t="inlineStr" s="1">
        <is>
          <t xml:space="preserve">Nombre de coachs</t>
        </is>
      </c>
      <c r="G1" t="inlineStr" s="1">
        <is>
          <t xml:space="preserve">Coachs attribues</t>
        </is>
      </c>
      <c r="H1" t="inlineStr" s="1">
        <is>
          <t xml:space="preserve">Membres</t>
        </is>
      </c>
      <c r="I1" t="inlineStr" s="1">
        <is>
          <t xml:space="preserve">Candidatures</t>
        </is>
      </c>
      <c r="J1" t="inlineStr" s="1">
        <is>
          <t xml:space="preserve">Entretiens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M1"/>
  <sheetViews>
    <sheetView workbookViewId="0">
      <pane ySplit="1" topLeftCell="A2" activePane="bottomLeft" state="frozen"/>
      <selection pane="bottomLeft" activeCell="A2" sqref="A2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</cols>
  <sheetData>
    <row r="1">
      <c r="A1" t="inlineStr" s="1">
        <is>
          <t xml:space="preserve">ID</t>
        </is>
      </c>
      <c r="B1" t="inlineStr" s="1">
        <is>
          <t xml:space="preserve">Prenom</t>
        </is>
      </c>
      <c r="C1" t="inlineStr" s="1">
        <is>
          <t xml:space="preserve">Nom</t>
        </is>
      </c>
      <c r="D1" t="inlineStr" s="1">
        <is>
          <t xml:space="preserve">Email</t>
        </is>
      </c>
      <c r="E1" t="inlineStr" s="1">
        <is>
          <t xml:space="preserve">Role</t>
        </is>
      </c>
      <c r="F1" t="inlineStr" s="1">
        <is>
          <t xml:space="preserve">Groupes</t>
        </is>
      </c>
      <c r="G1" t="inlineStr" s="1">
        <is>
          <t xml:space="preserve">Candidatures</t>
        </is>
      </c>
      <c r="H1" t="inlineStr" s="1">
        <is>
          <t xml:space="preserve">Entretiens</t>
        </is>
      </c>
      <c r="I1" t="inlineStr" s="1">
        <is>
          <t xml:space="preserve">Relances dues</t>
        </is>
      </c>
      <c r="J1" t="inlineStr" s="1">
        <is>
          <t xml:space="preserve">Acceptees</t>
        </is>
      </c>
      <c r="K1" t="inlineStr" s="1">
        <is>
          <t xml:space="preserve">Refusees</t>
        </is>
      </c>
      <c r="L1" t="inlineStr" s="1">
        <is>
          <t xml:space="preserve">En cours</t>
        </is>
      </c>
      <c r="M1" t="inlineStr" s="1">
        <is>
          <t xml:space="preserve">Derniere activite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Y1"/>
  <sheetViews>
    <sheetView workbookViewId="0">
      <pane ySplit="1" topLeftCell="A2" activePane="bottomLeft" state="frozen"/>
      <selection pane="bottomLeft" activeCell="A2" sqref="A2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</cols>
  <sheetData>
    <row r="1">
      <c r="A1" t="inlineStr" s="1">
        <is>
          <t xml:space="preserve">User ID</t>
        </is>
      </c>
      <c r="B1" t="inlineStr" s="1">
        <is>
          <t xml:space="preserve">Prenom</t>
        </is>
      </c>
      <c r="C1" t="inlineStr" s="1">
        <is>
          <t xml:space="preserve">Nom</t>
        </is>
      </c>
      <c r="D1" t="inlineStr" s="1">
        <is>
          <t xml:space="preserve">Email</t>
        </is>
      </c>
      <c r="E1" t="inlineStr" s="1">
        <is>
          <t xml:space="preserve">Role</t>
        </is>
      </c>
      <c r="F1" t="inlineStr" s="1">
        <is>
          <t xml:space="preserve">Groupes</t>
        </is>
      </c>
      <c r="G1" t="inlineStr" s="1">
        <is>
          <t xml:space="preserve">Entreprise</t>
        </is>
      </c>
      <c r="H1" t="inlineStr" s="1">
        <is>
          <t xml:space="preserve">Intitule</t>
        </is>
      </c>
      <c r="I1" t="inlineStr" s="1">
        <is>
          <t xml:space="preserve">Type</t>
        </is>
      </c>
      <c r="J1" t="inlineStr" s="1">
        <is>
          <t xml:space="preserve">Lieu</t>
        </is>
      </c>
      <c r="K1" t="inlineStr" s="1">
        <is>
          <t xml:space="preserve">Date envoyee</t>
        </is>
      </c>
      <c r="L1" t="inlineStr" s="1">
        <is>
          <t xml:space="preserve">Date relance</t>
        </is>
      </c>
      <c r="M1" t="inlineStr" s="1">
        <is>
          <t xml:space="preserve">Derniere relance</t>
        </is>
      </c>
      <c r="N1" t="inlineStr" s="1">
        <is>
          <t xml:space="preserve">Date entretien</t>
        </is>
      </c>
      <c r="O1" t="inlineStr" s="1">
        <is>
          <t xml:space="preserve">Details entretien</t>
        </is>
      </c>
      <c r="P1" t="inlineStr" s="1">
        <is>
          <t xml:space="preserve">Statut</t>
        </is>
      </c>
      <c r="Q1" t="inlineStr" s="1">
        <is>
          <t xml:space="preserve">Notes</t>
        </is>
      </c>
      <c r="R1" t="inlineStr" s="1">
        <is>
          <t xml:space="preserve">Preuves</t>
        </is>
      </c>
      <c r="S1" t="inlineStr" s="1">
        <is>
          <t xml:space="preserve">Note privee coach</t>
        </is>
      </c>
      <c r="T1" t="inlineStr" s="1">
        <is>
          <t xml:space="preserve">Contributeurs note privee</t>
        </is>
      </c>
      <c r="U1" t="inlineStr" s="1">
        <is>
          <t xml:space="preserve">Notes coach partagees</t>
        </is>
      </c>
      <c r="V1" t="inlineStr" s="1">
        <is>
          <t xml:space="preserve">Contributeurs notes partagees</t>
        </is>
      </c>
      <c r="W1" t="inlineStr" s="1">
        <is>
          <t xml:space="preserve">Lien</t>
        </is>
      </c>
      <c r="X1" t="inlineStr" s="1">
        <is>
          <t xml:space="preserve">PDF</t>
        </is>
      </c>
      <c r="Y1" t="inlineStr" s="1">
        <is>
          <t xml:space="preserve">Mis a jour le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dimension ref="A1:Y1"/>
  <sheetViews>
    <sheetView workbookViewId="0">
      <pane ySplit="1" topLeftCell="A2" activePane="bottomLeft" state="frozen"/>
      <selection pane="bottomLeft" activeCell="A2" sqref="A2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</cols>
  <sheetData>
    <row r="1">
      <c r="A1" t="inlineStr" s="1">
        <is>
          <t xml:space="preserve">User ID</t>
        </is>
      </c>
      <c r="B1" t="inlineStr" s="1">
        <is>
          <t xml:space="preserve">Prenom</t>
        </is>
      </c>
      <c r="C1" t="inlineStr" s="1">
        <is>
          <t xml:space="preserve">Nom</t>
        </is>
      </c>
      <c r="D1" t="inlineStr" s="1">
        <is>
          <t xml:space="preserve">Email</t>
        </is>
      </c>
      <c r="E1" t="inlineStr" s="1">
        <is>
          <t xml:space="preserve">Role</t>
        </is>
      </c>
      <c r="F1" t="inlineStr" s="1">
        <is>
          <t xml:space="preserve">Groupes</t>
        </is>
      </c>
      <c r="G1" t="inlineStr" s="1">
        <is>
          <t xml:space="preserve">Entreprise</t>
        </is>
      </c>
      <c r="H1" t="inlineStr" s="1">
        <is>
          <t xml:space="preserve">Intitule</t>
        </is>
      </c>
      <c r="I1" t="inlineStr" s="1">
        <is>
          <t xml:space="preserve">Type</t>
        </is>
      </c>
      <c r="J1" t="inlineStr" s="1">
        <is>
          <t xml:space="preserve">Lieu</t>
        </is>
      </c>
      <c r="K1" t="inlineStr" s="1">
        <is>
          <t xml:space="preserve">Date envoyee</t>
        </is>
      </c>
      <c r="L1" t="inlineStr" s="1">
        <is>
          <t xml:space="preserve">Date relance</t>
        </is>
      </c>
      <c r="M1" t="inlineStr" s="1">
        <is>
          <t xml:space="preserve">Derniere relance</t>
        </is>
      </c>
      <c r="N1" t="inlineStr" s="1">
        <is>
          <t xml:space="preserve">Date entretien</t>
        </is>
      </c>
      <c r="O1" t="inlineStr" s="1">
        <is>
          <t xml:space="preserve">Details entretien</t>
        </is>
      </c>
      <c r="P1" t="inlineStr" s="1">
        <is>
          <t xml:space="preserve">Statut</t>
        </is>
      </c>
      <c r="Q1" t="inlineStr" s="1">
        <is>
          <t xml:space="preserve">Notes</t>
        </is>
      </c>
      <c r="R1" t="inlineStr" s="1">
        <is>
          <t xml:space="preserve">Preuves</t>
        </is>
      </c>
      <c r="S1" t="inlineStr" s="1">
        <is>
          <t xml:space="preserve">Note privee coach</t>
        </is>
      </c>
      <c r="T1" t="inlineStr" s="1">
        <is>
          <t xml:space="preserve">Contributeurs note privee</t>
        </is>
      </c>
      <c r="U1" t="inlineStr" s="1">
        <is>
          <t xml:space="preserve">Notes coach partagees</t>
        </is>
      </c>
      <c r="V1" t="inlineStr" s="1">
        <is>
          <t xml:space="preserve">Contributeurs notes partagees</t>
        </is>
      </c>
      <c r="W1" t="inlineStr" s="1">
        <is>
          <t xml:space="preserve">Lien</t>
        </is>
      </c>
      <c r="X1" t="inlineStr" s="1">
        <is>
          <t xml:space="preserve">PDF</t>
        </is>
      </c>
      <c r="Y1" t="inlineStr" s="1">
        <is>
          <t xml:space="preserve">Mis a jour le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dimension ref="A1:Y1"/>
  <sheetViews>
    <sheetView workbookViewId="0">
      <pane ySplit="1" topLeftCell="A2" activePane="bottomLeft" state="frozen"/>
      <selection pane="bottomLeft" activeCell="A2" sqref="A2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</cols>
  <sheetData>
    <row r="1">
      <c r="A1" t="inlineStr" s="1">
        <is>
          <t xml:space="preserve">User ID</t>
        </is>
      </c>
      <c r="B1" t="inlineStr" s="1">
        <is>
          <t xml:space="preserve">Prenom</t>
        </is>
      </c>
      <c r="C1" t="inlineStr" s="1">
        <is>
          <t xml:space="preserve">Nom</t>
        </is>
      </c>
      <c r="D1" t="inlineStr" s="1">
        <is>
          <t xml:space="preserve">Email</t>
        </is>
      </c>
      <c r="E1" t="inlineStr" s="1">
        <is>
          <t xml:space="preserve">Role</t>
        </is>
      </c>
      <c r="F1" t="inlineStr" s="1">
        <is>
          <t xml:space="preserve">Groupes</t>
        </is>
      </c>
      <c r="G1" t="inlineStr" s="1">
        <is>
          <t xml:space="preserve">Entreprise</t>
        </is>
      </c>
      <c r="H1" t="inlineStr" s="1">
        <is>
          <t xml:space="preserve">Intitule</t>
        </is>
      </c>
      <c r="I1" t="inlineStr" s="1">
        <is>
          <t xml:space="preserve">Type</t>
        </is>
      </c>
      <c r="J1" t="inlineStr" s="1">
        <is>
          <t xml:space="preserve">Lieu</t>
        </is>
      </c>
      <c r="K1" t="inlineStr" s="1">
        <is>
          <t xml:space="preserve">Date envoyee</t>
        </is>
      </c>
      <c r="L1" t="inlineStr" s="1">
        <is>
          <t xml:space="preserve">Date relance</t>
        </is>
      </c>
      <c r="M1" t="inlineStr" s="1">
        <is>
          <t xml:space="preserve">Derniere relance</t>
        </is>
      </c>
      <c r="N1" t="inlineStr" s="1">
        <is>
          <t xml:space="preserve">Date entretien</t>
        </is>
      </c>
      <c r="O1" t="inlineStr" s="1">
        <is>
          <t xml:space="preserve">Details entretien</t>
        </is>
      </c>
      <c r="P1" t="inlineStr" s="1">
        <is>
          <t xml:space="preserve">Statut</t>
        </is>
      </c>
      <c r="Q1" t="inlineStr" s="1">
        <is>
          <t xml:space="preserve">Notes</t>
        </is>
      </c>
      <c r="R1" t="inlineStr" s="1">
        <is>
          <t xml:space="preserve">Preuves</t>
        </is>
      </c>
      <c r="S1" t="inlineStr" s="1">
        <is>
          <t xml:space="preserve">Note privee coach</t>
        </is>
      </c>
      <c r="T1" t="inlineStr" s="1">
        <is>
          <t xml:space="preserve">Contributeurs note privee</t>
        </is>
      </c>
      <c r="U1" t="inlineStr" s="1">
        <is>
          <t xml:space="preserve">Notes coach partagees</t>
        </is>
      </c>
      <c r="V1" t="inlineStr" s="1">
        <is>
          <t xml:space="preserve">Contributeurs notes partagees</t>
        </is>
      </c>
      <c r="W1" t="inlineStr" s="1">
        <is>
          <t xml:space="preserve">Lien</t>
        </is>
      </c>
      <c r="X1" t="inlineStr" s="1">
        <is>
          <t xml:space="preserve">PDF</t>
        </is>
      </c>
      <c r="Y1" t="inlineStr" s="1">
        <is>
          <t xml:space="preserve">Mis a jour le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dimension ref="A1:D36"/>
  <sheetViews>
    <sheetView workbookViewId="0"/>
  </sheetViews>
  <cols>
    <col min="1" max="1" width="28" customWidth="1"/>
    <col min="2" max="2" width="18" customWidth="1"/>
    <col min="3" max="3" width="48" customWidth="1"/>
    <col min="4" max="4" width="24" customWidth="1"/>
  </cols>
  <sheetData>
    <row r="1">
      <c r="A1" t="inlineStr" s="1">
        <is>
          <t xml:space="preserve">Vue coach</t>
        </is>
      </c>
      <c r="B1" t="inlineStr" s="1">
        <is>
          <t xml:space="preserve">Valeur</t>
        </is>
      </c>
      <c r="C1" t="inlineStr" s="1">
        <is>
          <t xml:space="preserve">Commentaire</t>
        </is>
      </c>
      <c r="D1" t="inlineStr" s="1">
        <is>
          <t xml:space="preserve">Mini visuel</t>
        </is>
      </c>
    </row>
    <row r="2">
      <c r="A2" t="inlineStr" s="0">
        <is>
          <t xml:space="preserve">Groupes visibles</t>
        </is>
      </c>
      <c r="B2" s="0">
        <f>MAX(COUNTA(Groups!A:A)-1,0)</f>
      </c>
      <c r="C2" t="inlineStr" s="0">
        <is>
          <t xml:space="preserve">Nombre de groupes charges depuis l API</t>
        </is>
      </c>
      <c r="D2" t="inlineStr" s="0">
        <is>
          <t xml:space="preserve"/>
        </is>
      </c>
    </row>
    <row r="3">
      <c r="A3" t="inlineStr" s="0">
        <is>
          <t xml:space="preserve">Beneficiaires visibles</t>
        </is>
      </c>
      <c r="B3" s="0">
        <f>MAX(COUNTA(Beneficiaires!A:A)-1,0)</f>
      </c>
      <c r="C3" t="inlineStr" s="0">
        <is>
          <t xml:space="preserve">Portefeuille actuellement charge</t>
        </is>
      </c>
      <c r="D3" t="inlineStr" s="0">
        <is>
          <t xml:space="preserve"/>
        </is>
      </c>
    </row>
    <row r="4">
      <c r="A4" t="inlineStr" s="0">
        <is>
          <t xml:space="preserve">Candidatures totales</t>
        </is>
      </c>
      <c r="B4" s="0">
        <f>MAX(COUNTA(Applications!A:A)-1,0)</f>
      </c>
      <c r="C4" t="inlineStr" s="0">
        <is>
          <t xml:space="preserve">Volume total du suivi charge</t>
        </is>
      </c>
      <c r="D4" t="inlineStr" s="0">
        <is>
          <t xml:space="preserve"/>
        </is>
      </c>
    </row>
    <row r="5">
      <c r="A5" t="inlineStr" s="0">
        <is>
          <t xml:space="preserve">Entretiens</t>
        </is>
      </c>
      <c r="B5" s="0">
        <f>COUNTIF(Applications!P:P,"interview")</f>
      </c>
      <c r="C5" t="inlineStr" s="0">
        <is>
          <t xml:space="preserve">Candidatures en phase entretien</t>
        </is>
      </c>
      <c r="D5" t="inlineStr" s="0">
        <is>
          <t xml:space="preserve"/>
        </is>
      </c>
    </row>
    <row r="6">
      <c r="A6" t="inlineStr" s="0">
        <is>
          <t xml:space="preserve">Acceptees</t>
        </is>
      </c>
      <c r="B6" s="0">
        <f>COUNTIF(Applications!P:P,"accepted")</f>
      </c>
      <c r="C6" t="inlineStr" s="0">
        <is>
          <t xml:space="preserve">Placements ou issues positives</t>
        </is>
      </c>
      <c r="D6" t="inlineStr" s="0">
        <is>
          <t xml:space="preserve"/>
        </is>
      </c>
    </row>
    <row r="7">
      <c r="A7" t="inlineStr" s="0">
        <is>
          <t xml:space="preserve">Refusees</t>
        </is>
      </c>
      <c r="B7" s="0">
        <f>COUNTIF(Applications!P:P,"rejected")</f>
      </c>
      <c r="C7" t="inlineStr" s="0">
        <is>
          <t xml:space="preserve">Candidatures closes negativement</t>
        </is>
      </c>
      <c r="D7" t="inlineStr" s="0">
        <is>
          <t xml:space="preserve"/>
        </is>
      </c>
    </row>
    <row r="8">
      <c r="A8" t="inlineStr" s="0">
        <is>
          <t xml:space="preserve">En suivi actif</t>
        </is>
      </c>
      <c r="B8" s="0">
        <f>COUNTIF(Applications!P:P,"in_progress")+COUNTIF(Applications!P:P,"follow_up")</f>
      </c>
      <c r="C8" t="inlineStr" s="0">
        <is>
          <t xml:space="preserve">Pipeline actif</t>
        </is>
      </c>
      <c r="D8" t="inlineStr" s="0">
        <is>
          <t xml:space="preserve"/>
        </is>
      </c>
    </row>
    <row r="9">
      <c r="A9" t="inlineStr" s="0">
        <is>
          <t xml:space="preserve">Relances dues</t>
        </is>
      </c>
      <c r="B9" s="0">
        <f>COUNTIF(Applications!L:L,"&lt;&gt;")-COUNTIF(Applications!L:L,"Date relance")</f>
      </c>
      <c r="C9" t="inlineStr" s="0">
        <is>
          <t xml:space="preserve">Approximation basee sur les dates de relance chargees</t>
        </is>
      </c>
      <c r="D9" t="inlineStr" s="0">
        <is>
          <t xml:space="preserve"/>
        </is>
      </c>
    </row>
    <row r="10">
      <c r="A10" t="inlineStr" s="0">
        <is>
          <t xml:space="preserve"/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0">
        <is>
          <t xml:space="preserve">Synthese statuts</t>
        </is>
      </c>
      <c r="B11" t="inlineStr" s="0">
        <is>
          <t xml:space="preserve">Nb</t>
        </is>
      </c>
      <c r="C11" t="inlineStr" s="0">
        <is>
          <t xml:space="preserve">% du total</t>
        </is>
      </c>
      <c r="D11" t="inlineStr" s="0">
        <is>
          <t xml:space="preserve">Barre</t>
        </is>
      </c>
    </row>
    <row r="12">
      <c r="A12" t="inlineStr" s="0">
        <is>
          <t xml:space="preserve">in_progress</t>
        </is>
      </c>
      <c r="B12" s="0">
        <f>COUNTIF(Applications!P:P,"in_progress")</f>
      </c>
      <c r="C12" s="0">
        <f>IF($B$4=0,0,B12/$B$4)</f>
      </c>
      <c r="D12" s="0">
        <f>REPT("|",ROUND(IF($B$4=0,0,B12/$B$4)*20,0))</f>
      </c>
    </row>
    <row r="13">
      <c r="A13" t="inlineStr" s="0">
        <is>
          <t xml:space="preserve">follow_up</t>
        </is>
      </c>
      <c r="B13" s="0">
        <f>COUNTIF(Applications!P:P,"follow_up")</f>
      </c>
      <c r="C13" s="0">
        <f>IF($B$4=0,0,B13/$B$4)</f>
      </c>
      <c r="D13" s="0">
        <f>REPT("|",ROUND(IF($B$4=0,0,B13/$B$4)*20,0))</f>
      </c>
    </row>
    <row r="14">
      <c r="A14" t="inlineStr" s="0">
        <is>
          <t xml:space="preserve">interview</t>
        </is>
      </c>
      <c r="B14" s="0">
        <f>COUNTIF(Applications!P:P,"interview")</f>
      </c>
      <c r="C14" s="0">
        <f>IF($B$4=0,0,B14/$B$4)</f>
      </c>
      <c r="D14" s="0">
        <f>REPT("|",ROUND(IF($B$4=0,0,B14/$B$4)*20,0))</f>
      </c>
    </row>
    <row r="15">
      <c r="A15" t="inlineStr" s="0">
        <is>
          <t xml:space="preserve">accepted</t>
        </is>
      </c>
      <c r="B15" s="0">
        <f>COUNTIF(Applications!P:P,"accepted")</f>
      </c>
      <c r="C15" s="0">
        <f>IF($B$4=0,0,B15/$B$4)</f>
      </c>
      <c r="D15" s="0">
        <f>REPT("|",ROUND(IF($B$4=0,0,B15/$B$4)*20,0))</f>
      </c>
    </row>
    <row r="16">
      <c r="A16" t="inlineStr" s="0">
        <is>
          <t xml:space="preserve">rejected</t>
        </is>
      </c>
      <c r="B16" s="0">
        <f>COUNTIF(Applications!P:P,"rejected")</f>
      </c>
      <c r="C16" s="0">
        <f>IF($B$4=0,0,B16/$B$4)</f>
      </c>
      <c r="D16" s="0">
        <f>REPT("|",ROUND(IF($B$4=0,0,B16/$B$4)*20,0))</f>
      </c>
    </row>
    <row r="17">
      <c r="A17" t="inlineStr" s="0">
        <is>
          <t xml:space="preserve"/>
        </is>
      </c>
      <c r="B17" t="inlineStr" s="0">
        <is>
          <t xml:space="preserve"/>
        </is>
      </c>
      <c r="C17" t="inlineStr" s="0">
        <is>
          <t xml:space="preserve"/>
        </is>
      </c>
      <c r="D17" t="inlineStr" s="0">
        <is>
          <t xml:space="preserve"/>
        </is>
      </c>
    </row>
    <row r="18">
      <c r="A18" t="inlineStr" s="0">
        <is>
          <t xml:space="preserve">Top groupes</t>
        </is>
      </c>
      <c r="B18" t="inlineStr" s="0">
        <is>
          <t xml:space="preserve">Candidatures</t>
        </is>
      </c>
      <c r="C18" t="inlineStr" s="0">
        <is>
          <t xml:space="preserve">Beneficiaires</t>
        </is>
      </c>
      <c r="D18" t="inlineStr" s="0">
        <is>
          <t xml:space="preserve">Lecture</t>
        </is>
      </c>
    </row>
    <row r="19">
      <c r="A19" t="inlineStr" s="0">
        <is>
          <t xml:space="preserve">Groupe charge 1</t>
        </is>
      </c>
      <c r="B19" s="0">
        <f>IFERROR(INDEX(Groups!B:B,2),"")</f>
      </c>
      <c r="C19" s="0">
        <f>IFERROR(INDEX(Groups!H:H,2),"")</f>
      </c>
      <c r="D19" s="0">
        <f>IFERROR(INDEX(Groups!I:I,2),"")</f>
      </c>
    </row>
    <row r="20">
      <c r="A20" t="inlineStr" s="0">
        <is>
          <t xml:space="preserve">Groupe charge 2</t>
        </is>
      </c>
      <c r="B20" s="0">
        <f>IFERROR(INDEX(Groups!B:B,3),"")</f>
      </c>
      <c r="C20" s="0">
        <f>IFERROR(INDEX(Groups!H:H,3),"")</f>
      </c>
      <c r="D20" s="0">
        <f>IFERROR(INDEX(Groups!I:I,3),"")</f>
      </c>
    </row>
    <row r="21">
      <c r="A21" t="inlineStr" s="0">
        <is>
          <t xml:space="preserve">Groupe charge 3</t>
        </is>
      </c>
      <c r="B21" s="0">
        <f>IFERROR(INDEX(Groups!B:B,4),"")</f>
      </c>
      <c r="C21" s="0">
        <f>IFERROR(INDEX(Groups!H:H,4),"")</f>
      </c>
      <c r="D21" s="0">
        <f>IFERROR(INDEX(Groups!I:I,4),"")</f>
      </c>
    </row>
    <row r="22">
      <c r="A22" t="inlineStr" s="0">
        <is>
          <t xml:space="preserve"/>
        </is>
      </c>
      <c r="B22" t="inlineStr" s="0">
        <is>
          <t xml:space="preserve"/>
        </is>
      </c>
      <c r="C22" t="inlineStr" s="0">
        <is>
          <t xml:space="preserve"/>
        </is>
      </c>
      <c r="D22" t="inlineStr" s="0">
        <is>
          <t xml:space="preserve"/>
        </is>
      </c>
    </row>
    <row r="23">
      <c r="A23" t="inlineStr" s="0">
        <is>
          <t xml:space="preserve">Controle portefeuille</t>
        </is>
      </c>
      <c r="B23" t="inlineStr" s="0">
        <is>
          <t xml:space="preserve">Valeur</t>
        </is>
      </c>
      <c r="C23" t="inlineStr" s="0">
        <is>
          <t xml:space="preserve">Commentaire</t>
        </is>
      </c>
      <c r="D23" t="inlineStr" s="0">
        <is>
          <t xml:space="preserve"/>
        </is>
      </c>
    </row>
    <row r="24">
      <c r="A24" t="inlineStr" s="0">
        <is>
          <t xml:space="preserve">Beneficiaires avec entretiens</t>
        </is>
      </c>
      <c r="B24" s="0">
        <f>COUNTIF(Beneficiaires!H:H,"&gt;0")</f>
      </c>
      <c r="C24" t="inlineStr" s="0">
        <is>
          <t xml:space="preserve">Combien de beneficiaires ont au moins un entretien</t>
        </is>
      </c>
      <c r="D24" t="inlineStr" s="0">
        <is>
          <t xml:space="preserve"/>
        </is>
      </c>
    </row>
    <row r="25">
      <c r="A25" t="inlineStr" s="0">
        <is>
          <t xml:space="preserve">Beneficiaires avec relances dues</t>
        </is>
      </c>
      <c r="B25" s="0">
        <f>COUNTIF(Beneficiaires!I:I,"&gt;0")</f>
      </c>
      <c r="C25" t="inlineStr" s="0">
        <is>
          <t xml:space="preserve">Priorite de suivi coach</t>
        </is>
      </c>
      <c r="D25" t="inlineStr" s="0">
        <is>
          <t xml:space="preserve"/>
        </is>
      </c>
    </row>
    <row r="26">
      <c r="A26" t="inlineStr" s="0">
        <is>
          <t xml:space="preserve">Beneficiaires avec 5+ candidatures</t>
        </is>
      </c>
      <c r="B26" s="0">
        <f>COUNTIF(Beneficiaires!G:G,"&gt;=5")</f>
      </c>
      <c r="C26" t="inlineStr" s="0">
        <is>
          <t xml:space="preserve">Profils tres actifs</t>
        </is>
      </c>
      <c r="D26" t="inlineStr" s="0">
        <is>
          <t xml:space="preserve"/>
        </is>
      </c>
    </row>
    <row r="27">
      <c r="A27" t="inlineStr" s="0">
        <is>
          <t xml:space="preserve">Derniere activite renseignee</t>
        </is>
      </c>
      <c r="B27" s="0">
        <f>MAX(Beneficiaires!M:M)</f>
      </c>
      <c r="C27" t="inlineStr" s="0">
        <is>
          <t xml:space="preserve">Peut etre interpretee comme date texte selon Excel</t>
        </is>
      </c>
      <c r="D27" t="inlineStr" s="0">
        <is>
          <t xml:space="preserve"/>
        </is>
      </c>
    </row>
    <row r="28">
      <c r="A28" t="inlineStr" s="0">
        <is>
          <t xml:space="preserve"/>
        </is>
      </c>
      <c r="B28" t="inlineStr" s="0">
        <is>
          <t xml:space="preserve"/>
        </is>
      </c>
      <c r="C28" t="inlineStr" s="0">
        <is>
          <t xml:space="preserve"/>
        </is>
      </c>
      <c r="D28" t="inlineStr" s="0">
        <is>
          <t xml:space="preserve"/>
        </is>
      </c>
    </row>
    <row r="29">
      <c r="A29" t="inlineStr" s="0">
        <is>
          <t xml:space="preserve">Distribution operationnelle</t>
        </is>
      </c>
      <c r="B29" t="inlineStr" s="0">
        <is>
          <t xml:space="preserve">Valeur</t>
        </is>
      </c>
      <c r="C29" t="inlineStr" s="0">
        <is>
          <t xml:space="preserve">Formule source</t>
        </is>
      </c>
      <c r="D29" t="inlineStr" s="0">
        <is>
          <t xml:space="preserve">Usage</t>
        </is>
      </c>
    </row>
    <row r="30">
      <c r="A30" t="inlineStr" s="0">
        <is>
          <t xml:space="preserve">Entretiens planifies</t>
        </is>
      </c>
      <c r="B30" s="0">
        <f>COUNTIF(Applications!N:N,"&lt;&gt;")-COUNTIF(Applications!N:N,"Date entretien")</f>
      </c>
      <c r="C30" t="inlineStr" s="0">
        <is>
          <t xml:space="preserve">Date entretien non vide</t>
        </is>
      </c>
      <c r="D30" t="inlineStr" s="0">
        <is>
          <t xml:space="preserve">Piloter les accompagnements chauds</t>
        </is>
      </c>
    </row>
    <row r="31">
      <c r="A31" t="inlineStr" s="0">
        <is>
          <t xml:space="preserve">Lignes avec note privee coach</t>
        </is>
      </c>
      <c r="B31" s="0">
        <f>COUNTIF(Applications!S:S,"&lt;&gt;")-COUNTIF(Applications!S:S,"Note privee coach")</f>
      </c>
      <c r="C31" t="inlineStr" s="0">
        <is>
          <t xml:space="preserve">Presence de note privee</t>
        </is>
      </c>
      <c r="D31" t="inlineStr" s="0">
        <is>
          <t xml:space="preserve">Verifier la couverture du suivi</t>
        </is>
      </c>
    </row>
    <row r="32">
      <c r="A32" t="inlineStr" s="0">
        <is>
          <t xml:space="preserve">Lignes avec notes partagees</t>
        </is>
      </c>
      <c r="B32" s="0">
        <f>COUNTIF(Applications!U:U,"&lt;&gt;")-COUNTIF(Applications!U:U,"Notes coach partagees")</f>
      </c>
      <c r="C32" t="inlineStr" s="0">
        <is>
          <t xml:space="preserve">Presence de notes partagees</t>
        </is>
      </c>
      <c r="D32" t="inlineStr" s="0">
        <is>
          <t xml:space="preserve">Suivi collaboratif</t>
        </is>
      </c>
    </row>
    <row r="33">
      <c r="A33" t="inlineStr" s="0">
        <is>
          <t xml:space="preserve">Lignes avec preuve</t>
        </is>
      </c>
      <c r="B33" s="0">
        <f>COUNTIF(Applications!R:R,"&lt;&gt;")-COUNTIF(Applications!R:R,"Preuves")</f>
      </c>
      <c r="C33" t="inlineStr" s="0">
        <is>
          <t xml:space="preserve">Presence de preuve</t>
        </is>
      </c>
      <c r="D33" t="inlineStr" s="0">
        <is>
          <t xml:space="preserve">Controle qualite dossier</t>
        </is>
      </c>
    </row>
    <row r="34">
      <c r="A34" t="inlineStr" s="0">
        <is>
          <t xml:space="preserve"/>
        </is>
      </c>
      <c r="B34" t="inlineStr" s="0">
        <is>
          <t xml:space="preserve"/>
        </is>
      </c>
      <c r="C34" t="inlineStr" s="0">
        <is>
          <t xml:space="preserve"/>
        </is>
      </c>
      <c r="D34" t="inlineStr" s="0">
        <is>
          <t xml:space="preserve"/>
        </is>
      </c>
    </row>
    <row r="35">
      <c r="A35" t="inlineStr" s="0">
        <is>
          <t xml:space="preserve">Lecture</t>
        </is>
      </c>
      <c r="B35" t="inlineStr" s="0">
        <is>
          <t xml:space="preserve">Le dashboard devient utile apres chargement des requetes Power Query.</t>
        </is>
      </c>
      <c r="C35" t="inlineStr" s="0">
        <is>
          <t xml:space="preserve"/>
        </is>
      </c>
      <c r="D35" t="inlineStr" s="0">
        <is>
          <t xml:space="preserve"/>
        </is>
      </c>
    </row>
    <row r="36">
      <c r="A36" t="inlineStr" s="0">
        <is>
          <t xml:space="preserve">Lecture</t>
        </is>
      </c>
      <c r="B36" t="inlineStr" s="0">
        <is>
          <t xml:space="preserve">Pour de vrais graphiques Excel, inserer un graphique en pointant sur les tableaux de synthese ci-dessus.</t>
        </is>
      </c>
      <c r="C36" t="inlineStr" s="0">
        <is>
          <t xml:space="preserve"/>
        </is>
      </c>
      <c r="D36" t="inlineStr" s="0">
        <is>
          <t xml:space="preserve"/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dimension ref="A1:B12"/>
  <sheetViews>
    <sheetView workbookViewId="0"/>
  </sheetViews>
  <cols>
    <col min="1" max="1" width="24" customWidth="1"/>
    <col min="2" max="2" width="18" customWidth="1"/>
  </cols>
  <sheetData>
    <row r="1">
      <c r="A1" t="inlineStr" s="1">
        <is>
          <t xml:space="preserve">Serie</t>
        </is>
      </c>
      <c r="B1" t="inlineStr" s="1">
        <is>
          <t xml:space="preserve">Valeur</t>
        </is>
      </c>
    </row>
    <row r="2">
      <c r="A2" t="inlineStr" s="0">
        <is>
          <t xml:space="preserve">in_progress</t>
        </is>
      </c>
      <c r="B2" s="0">
        <f>COUNTIF(Applications!P:P,"in_progress")</f>
      </c>
    </row>
    <row r="3">
      <c r="A3" t="inlineStr" s="0">
        <is>
          <t xml:space="preserve">follow_up</t>
        </is>
      </c>
      <c r="B3" s="0">
        <f>COUNTIF(Applications!P:P,"follow_up")</f>
      </c>
    </row>
    <row r="4">
      <c r="A4" t="inlineStr" s="0">
        <is>
          <t xml:space="preserve">interview</t>
        </is>
      </c>
      <c r="B4" s="0">
        <f>COUNTIF(Applications!P:P,"interview")</f>
      </c>
    </row>
    <row r="5">
      <c r="A5" t="inlineStr" s="0">
        <is>
          <t xml:space="preserve">accepted</t>
        </is>
      </c>
      <c r="B5" s="0">
        <f>COUNTIF(Applications!P:P,"accepted")</f>
      </c>
    </row>
    <row r="6">
      <c r="A6" t="inlineStr" s="0">
        <is>
          <t xml:space="preserve">rejected</t>
        </is>
      </c>
      <c r="B6" s="0">
        <f>COUNTIF(Applications!P:P,"rejected")</f>
      </c>
    </row>
    <row r="7">
      <c r="A7" t="inlineStr" s="0">
        <is>
          <t xml:space="preserve"/>
        </is>
      </c>
      <c r="B7" t="inlineStr" s="0">
        <is>
          <t xml:space="preserve"/>
        </is>
      </c>
    </row>
    <row r="8">
      <c r="A8" t="inlineStr" s="0">
        <is>
          <t xml:space="preserve">Portefeuille</t>
        </is>
      </c>
      <c r="B8" t="inlineStr" s="0">
        <is>
          <t xml:space="preserve">Valeur</t>
        </is>
      </c>
    </row>
    <row r="9">
      <c r="A9" t="inlineStr" s="0">
        <is>
          <t xml:space="preserve">Beneficiaires</t>
        </is>
      </c>
      <c r="B9" s="0">
        <f>MAX(COUNTA(Beneficiaires!A:A)-1,0)</f>
      </c>
    </row>
    <row r="10">
      <c r="A10" t="inlineStr" s="0">
        <is>
          <t xml:space="preserve">Candidatures</t>
        </is>
      </c>
      <c r="B10" s="0">
        <f>MAX(COUNTA(Applications!A:A)-1,0)</f>
      </c>
    </row>
    <row r="11">
      <c r="A11" t="inlineStr" s="0">
        <is>
          <t xml:space="preserve">Entretiens</t>
        </is>
      </c>
      <c r="B11" s="0">
        <f>COUNTIF(Applications!P:P,"interview")</f>
      </c>
    </row>
    <row r="12">
      <c r="A12" t="inlineStr" s="0">
        <is>
          <t xml:space="preserve">Relances dues</t>
        </is>
      </c>
      <c r="B12" s="0">
        <f>COUNTIF(Beneficiaires!I:I,"&gt;0")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11" baseType="lpstr">
      <vt:lpstr>Accueil</vt:lpstr>
      <vt:lpstr>Config</vt:lpstr>
      <vt:lpstr>Guide_Query</vt:lpstr>
      <vt:lpstr>Guide_Macros</vt:lpstr>
      <vt:lpstr>Groups</vt:lpstr>
      <vt:lpstr>Beneficiaires</vt:lpstr>
      <vt:lpstr>Applications</vt:lpstr>
      <vt:lpstr>Entretiens</vt:lpstr>
      <vt:lpstr>Relances_Dues</vt:lpstr>
      <vt:lpstr>Dashboard</vt:lpstr>
      <vt:lpstr>GraphData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Coach API Workbook Template</dc:title>
  <dc:creator>Codex</dc:creator>
  <cp:lastModifiedBy>Codex</cp:lastModifiedBy>
  <dcterms:created xsi:type="dcterms:W3CDTF">2026-03-19T00:00:00Z</dcterms:created>
  <dcterms:modified xsi:type="dcterms:W3CDTF">2026-03-19T00:00:00Z</dcterms:modified>
</cp:coreProperties>
</file>